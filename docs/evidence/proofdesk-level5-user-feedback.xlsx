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1e0b54f30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f1195c51964173"/>
    <x:sheet xmlns:r="http://schemas.openxmlformats.org/officeDocument/2006/relationships" name="Form Responses" sheetId="2" r:id="Raa6a88452f8d4181"/>
    <x:sheet xmlns:r="http://schemas.openxmlformats.org/officeDocument/2006/relationships" name="Analysis" sheetId="3" r:id="R849aaa30f659428e"/>
    <x:sheet xmlns:r="http://schemas.openxmlformats.org/officeDocument/2006/relationships" name="Improvement Backlog" sheetId="4" r:id="R5e16ac73bdd8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423E"/>
      <x:name val="Carlito"/>
    </x:font>
    <x:font>
      <x:b/>
      <x:sz val="11"/>
      <x:color rgb="FF123D37"/>
      <x:name val="Carlito"/>
    </x:font>
    <x:font>
      <x:sz val="11"/>
      <x:color rgb="FF3342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9"/>
      </x:patternFill>
    </x:fill>
    <x:fill>
      <x:patternFill patternType="solid">
        <x:fgColor rgb="FFE8F5F1"/>
      </x:patternFill>
    </x:fill>
  </x:fills>
  <x:borders count="33">
    <x:border/>
    <x:border>
      <x:left style="thin">
        <x:color rgb="FFD9E7E2"/>
      </x:left>
      <x:top style="thin">
        <x:color rgb="FFD9E7E2"/>
      </x:top>
      <x:bottom style="thin">
        <x:color rgb="FFD9E7E2"/>
      </x:bottom>
    </x:border>
    <x:border>
      <x:top style="thin">
        <x:color rgb="FFD9E7E2"/>
      </x:top>
      <x:bottom style="thin">
        <x:color rgb="FFD9E7E2"/>
      </x:bottom>
    </x:border>
    <x:border>
      <x:right style="thin">
        <x:color rgb="FFD9E7E2"/>
      </x:right>
      <x:top style="thin">
        <x:color rgb="FFD9E7E2"/>
      </x:top>
      <x:bottom style="thin">
        <x:color rgb="FFD9E7E2"/>
      </x:bottom>
    </x:border>
    <x:border>
      <x:bottom style="thin">
        <x:color rgb="FFB9D8CF"/>
      </x:bottom>
    </x:border>
    <x:border>
      <x:right style="thin">
        <x:color rgb="FFE2E8E8"/>
      </x:right>
      <x:bottom style="thin">
        <x:color rgb="FFE2E8E8"/>
      </x:bottom>
    </x:border>
    <x:border>
      <x:left style="thin">
        <x:color rgb="FFE2E8E8"/>
      </x:left>
      <x:right style="thin">
        <x:color rgb="FFE2E8E8"/>
      </x:right>
      <x:bottom style="thin">
        <x:color rgb="FFE2E8E8"/>
      </x:bottom>
    </x:border>
    <x:border>
      <x:left style="thin">
        <x:color rgb="FFE2E8E8"/>
      </x:left>
      <x:bottom style="thin">
        <x:color rgb="FFE2E8E8"/>
      </x:bottom>
    </x:border>
    <x:border>
      <x:right style="thin">
        <x:color rgb="FFE2E8E8"/>
      </x:right>
      <x:top style="thin">
        <x:color rgb="FFE2E8E8"/>
      </x:top>
      <x:bottom style="thin">
        <x:color rgb="FFE2E8E8"/>
      </x:bottom>
    </x:border>
    <x:border>
      <x:left style="thin">
        <x:color rgb="FFE2E8E8"/>
      </x:left>
      <x:right style="thin">
        <x:color rgb="FFE2E8E8"/>
      </x:right>
      <x:top style="thin">
        <x:color rgb="FFE2E8E8"/>
      </x:top>
      <x:bottom style="thin">
        <x:color rgb="FFE2E8E8"/>
      </x:bottom>
    </x:border>
    <x:border>
      <x:left style="thin">
        <x:color rgb="FFE2E8E8"/>
      </x:left>
      <x:top style="thin">
        <x:color rgb="FFE2E8E8"/>
      </x:top>
      <x:bottom style="thin">
        <x:color rgb="FFE2E8E8"/>
      </x:bottom>
    </x:border>
    <x:border>
      <x:right style="thin">
        <x:color rgb="FFE2E8E8"/>
      </x:right>
      <x:top style="thin">
        <x:color rgb="FFE2E8E8"/>
      </x:top>
    </x:border>
    <x:border>
      <x:left style="thin">
        <x:color rgb="FFE2E8E8"/>
      </x:left>
      <x:right style="thin">
        <x:color rgb="FFE2E8E8"/>
      </x:right>
      <x:top style="thin">
        <x:color rgb="FFE2E8E8"/>
      </x:top>
    </x:border>
    <x:border>
      <x:left style="thin">
        <x:color rgb="FFE2E8E8"/>
      </x:left>
      <x:top style="thin">
        <x:color rgb="FFE2E8E8"/>
      </x:top>
    </x:border>
    <x:border>
      <x:right style="thin">
        <x:color rgb="FFEEF3F1"/>
      </x:right>
      <x:bottom style="thin">
        <x:color rgb="FFEEF3F1"/>
      </x:bottom>
    </x:border>
    <x:border>
      <x:left style="thin">
        <x:color rgb="FFEEF3F1"/>
      </x:left>
      <x:right style="thin">
        <x:color rgb="FFEEF3F1"/>
      </x:right>
      <x:bottom style="thin">
        <x:color rgb="FFEEF3F1"/>
      </x:bottom>
    </x:border>
    <x:border>
      <x:left style="thin">
        <x:color rgb="FFEEF3F1"/>
      </x:left>
      <x:bottom style="thin">
        <x:color rgb="FFEEF3F1"/>
      </x:bottom>
    </x:border>
    <x:border>
      <x:right style="thin">
        <x:color rgb="FFEEF3F1"/>
      </x:right>
      <x:top style="thin">
        <x:color rgb="FFEEF3F1"/>
      </x:top>
      <x:bottom style="thin">
        <x:color rgb="FFEEF3F1"/>
      </x:bottom>
    </x:border>
    <x:border>
      <x:left style="thin">
        <x:color rgb="FFEEF3F1"/>
      </x:left>
      <x:right style="thin">
        <x:color rgb="FFEEF3F1"/>
      </x:right>
      <x:top style="thin">
        <x:color rgb="FFEEF3F1"/>
      </x:top>
      <x:bottom style="thin">
        <x:color rgb="FFEEF3F1"/>
      </x:bottom>
    </x:border>
    <x:border>
      <x:left style="thin">
        <x:color rgb="FFEEF3F1"/>
      </x:left>
      <x:top style="thin">
        <x:color rgb="FFEEF3F1"/>
      </x:top>
      <x:bottom style="thin">
        <x:color rgb="FFEEF3F1"/>
      </x:bottom>
    </x:border>
    <x:border>
      <x:right style="thin">
        <x:color rgb="FFEEF3F1"/>
      </x:right>
      <x:top style="thin">
        <x:color rgb="FFEEF3F1"/>
      </x:top>
    </x:border>
    <x:border>
      <x:left style="thin">
        <x:color rgb="FFEEF3F1"/>
      </x:left>
      <x:right style="thin">
        <x:color rgb="FFEEF3F1"/>
      </x:right>
      <x:top style="thin">
        <x:color rgb="FFEEF3F1"/>
      </x:top>
    </x:border>
    <x:border>
      <x:left style="thin">
        <x:color rgb="FFEEF3F1"/>
      </x:left>
      <x:top style="thin">
        <x:color rgb="FFEEF3F1"/>
      </x:top>
    </x:border>
    <x:border>
      <x:left style="thin">
        <x:color rgb="FFD9E7E2"/>
      </x:left>
      <x:top style="thin">
        <x:color rgb="FFD9E7E2"/>
      </x:top>
      <x:bottom style="thin">
        <x:color rgb="FFB9D8CF"/>
      </x:bottom>
    </x:border>
    <x:border>
      <x:right style="thin">
        <x:color rgb="FFD9E7E2"/>
      </x:right>
      <x:top style="thin">
        <x:color rgb="FFD9E7E2"/>
      </x:top>
      <x:bottom style="thin">
        <x:color rgb="FFB9D8CF"/>
      </x:bottom>
    </x:border>
    <x:border>
      <x:left style="thin">
        <x:color rgb="FFD9E7E2"/>
      </x:left>
    </x:border>
    <x:border>
      <x:right style="thin">
        <x:color rgb="FFD9E7E2"/>
      </x:right>
    </x:border>
    <x:border>
      <x:left style="thin">
        <x:color rgb="FFD9E7E2"/>
      </x:left>
      <x:bottom style="thin">
        <x:color rgb="FFD9E7E2"/>
      </x:bottom>
    </x:border>
    <x:border>
      <x:right style="thin">
        <x:color rgb="FFD9E7E2"/>
      </x:right>
      <x:bottom style="thin">
        <x:color rgb="FFD9E7E2"/>
      </x:bottom>
    </x:border>
    <x:border>
      <x:left style="thin">
        <x:color rgb="FFD9E7E2"/>
      </x:left>
      <x:top style="thin">
        <x:color rgb="FFD9E7E2"/>
      </x:top>
    </x:border>
    <x:border>
      <x:top style="thin">
        <x:color rgb="FFD9E7E2"/>
      </x:top>
    </x:border>
    <x:border>
      <x:right style="thin">
        <x:color rgb="FFD9E7E2"/>
      </x:right>
      <x:top style="thin">
        <x:color rgb="FFD9E7E2"/>
      </x:top>
    </x:border>
    <x:border>
      <x:bottom style="thin">
        <x:color rgb="FFD9E7E2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3" fillId="3" borderId="23" xfId="0" applyNumberFormat="1" applyFont="1" applyFill="1" applyBorder="1" applyAlignment="1">
      <x:alignment wrapText="1"/>
    </x:xf>
    <x:xf numFmtId="0" fontId="3" fillId="3" borderId="24" xfId="0" applyNumberFormat="1" applyFont="1" applyFill="1" applyBorder="1" applyAlignment="1">
      <x:alignment wrapText="1"/>
    </x:xf>
    <x:xf numFmtId="0" fontId="0" fillId="3" borderId="25" xfId="0" applyNumberFormat="1" applyFont="1" applyFill="1" applyBorder="1"/>
    <x:xf numFmtId="200" fontId="0" fillId="3" borderId="26" xfId="0" applyNumberFormat="1" applyFont="1" applyFill="1" applyBorder="1"/>
    <x:xf numFmtId="202" fontId="0" fillId="3" borderId="26" xfId="0" applyNumberFormat="1" applyFont="1" applyFill="1" applyBorder="1"/>
    <x:xf numFmtId="0" fontId="0" fillId="3" borderId="27" xfId="0" applyNumberFormat="1" applyFont="1" applyFill="1" applyBorder="1"/>
    <x:xf numFmtId="0" fontId="0" fillId="3" borderId="28" xfId="0" applyNumberFormat="1" applyFont="1" applyFill="1" applyBorder="1"/>
    <x:xf numFmtId="200" fontId="0" fillId="3" borderId="28" xfId="0" applyNumberFormat="1" applyFont="1" applyFill="1" applyBorder="1"/>
    <x:xf numFmtId="0" fontId="4" fillId="3" borderId="0" xfId="0" applyNumberFormat="1" applyFont="1" applyFill="1" applyBorder="1"/>
    <x:xf numFmtId="0" fontId="4" fillId="3" borderId="29" xfId="0" applyNumberFormat="1" applyFont="1" applyFill="1" applyBorder="1"/>
    <x:xf numFmtId="0" fontId="4" fillId="3" borderId="30" xfId="0" applyNumberFormat="1" applyFont="1" applyFill="1" applyBorder="1"/>
    <x:xf numFmtId="0" fontId="4" fillId="3" borderId="31" xfId="0" applyNumberFormat="1" applyFont="1" applyFill="1" applyBorder="1"/>
    <x:xf numFmtId="0" fontId="4" fillId="3" borderId="25" xfId="0" applyNumberFormat="1" applyFont="1" applyFill="1" applyBorder="1"/>
    <x:xf numFmtId="0" fontId="4" fillId="3" borderId="26" xfId="0" applyNumberFormat="1" applyFont="1" applyFill="1" applyBorder="1"/>
    <x:xf numFmtId="0" fontId="4" fillId="3" borderId="27" xfId="0" applyNumberFormat="1" applyFont="1" applyFill="1" applyBorder="1"/>
    <x:xf numFmtId="0" fontId="4" fillId="3" borderId="32" xfId="0" applyNumberFormat="1" applyFont="1" applyFill="1" applyBorder="1"/>
    <x:xf numFmtId="0" fontId="4" fillId="3" borderId="28" xfId="0" applyNumberFormat="1" applyFont="1" applyFill="1" applyBorder="1"/>
    <x:xf numFmtId="0" fontId="4" fillId="3" borderId="29" xfId="0" applyNumberFormat="1" applyFont="1" applyFill="1" applyBorder="1" applyAlignment="1">
      <x:alignment wrapText="1"/>
    </x:xf>
    <x:xf numFmtId="0" fontId="4" fillId="3" borderId="30" xfId="0" applyNumberFormat="1" applyFont="1" applyFill="1" applyBorder="1" applyAlignment="1">
      <x:alignment wrapText="1"/>
    </x:xf>
    <x:xf numFmtId="0" fontId="4" fillId="3" borderId="31" xfId="0" applyNumberFormat="1" applyFont="1" applyFill="1" applyBorder="1" applyAlignment="1">
      <x:alignment wrapText="1"/>
    </x:xf>
    <x:xf numFmtId="0" fontId="4" fillId="3" borderId="2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4" fillId="3" borderId="27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4" fillId="3" borderId="2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131907eea4438" /><Relationship Type="http://schemas.openxmlformats.org/officeDocument/2006/relationships/theme" Target="/xl/theme/theme1.xml" Id="R05188ed9ef144e70" /><Relationship Type="http://schemas.openxmlformats.org/officeDocument/2006/relationships/sharedStrings" Target="/xl/sharedStrings.xml" Id="R02437ad1530542e5" /><Relationship Type="http://schemas.openxmlformats.org/officeDocument/2006/relationships/worksheet" Target="/xl/worksheets/sheet1.xml" Id="R6cf1195c51964173" /><Relationship Type="http://schemas.openxmlformats.org/officeDocument/2006/relationships/worksheet" Target="/xl/worksheets/sheet2.xml" Id="Raa6a88452f8d4181" /><Relationship Type="http://schemas.openxmlformats.org/officeDocument/2006/relationships/worksheet" Target="/xl/worksheets/sheet3.xml" Id="R849aaa30f659428e" /><Relationship Type="http://schemas.openxmlformats.org/officeDocument/2006/relationships/worksheet" Target="/xl/worksheets/sheet4.xml" Id="R5e16ac73bdd84830" /><Relationship Type="http://schemas.microsoft.com/office/2017/10/relationships/person" Target="/xl/persons/person.xml" Id="Re8658707999c4c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7020a7706c42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Feedback Themes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Mentions</c:v>
          </c:tx>
          <c:cat>
            <c:strRef>
              <c:f>'Analysis'!$D$4:$D$10</c:f>
              <c:strCache>
                <c:ptCount val="0"/>
              </c:strCache>
            </c:strRef>
          </c:cat>
          <c:val>
            <c:numRef>
              <c:f>'Analysis'!$E$4:$E$10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020a7706c428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lif Vural" id="{8BB5F323-18B4-4A5C-8213-F731F2508FE4}"/>
</xltc:personList>
</file>

<file path=xl/tables/table1.xml><?xml version="1.0" encoding="utf-8"?>
<x:table xmlns:x="http://schemas.openxmlformats.org/spreadsheetml/2006/main" id="1" name="Level5FeedbackResponses" displayName="Level5FeedbackResponses" ref="A1:O51" headerRowCount="1" totalsRowCount="0" totalsRowShown="0">
  <x:tableColumns count="15">
    <x:tableColumn id="1" name="Timestamp"/>
    <x:tableColumn id="2" name="Name"/>
    <x:tableColumn id="3" name="Email"/>
    <x:tableColumn id="4" name="Wallet Address"/>
    <x:tableColumn id="5" name="Testnet Tx Hash"/>
    <x:tableColumn id="6" name="Explorer URL"/>
    <x:tableColumn id="7" name="Use Case"/>
    <x:tableColumn id="8" name="Product Rating"/>
    <x:tableColumn id="9" name="Product Feedback"/>
    <x:tableColumn id="10" name="Status"/>
    <x:tableColumn id="11" name="Follow-up Owner"/>
    <x:tableColumn id="12" name="Improvement Theme"/>
    <x:tableColumn id="13" name="Commit Link"/>
    <x:tableColumn id="14" name="Unique Wallet Flag"/>
    <x:tableColumn id="15" name="Signed Tx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5ImprovementBacklog" displayName="Level5ImprovementBacklog" ref="A1:G8" headerRowCount="1" totalsRowCount="0" totalsRowShown="0">
  <x:tableColumns count="7">
    <x:tableColumn id="1" name="Priority"/>
    <x:tableColumn id="2" name="Feedback Signal / Requirement"/>
    <x:tableColumn id="3" name="Product Iteration"/>
    <x:tableColumn id="4" name="Status"/>
    <x:tableColumn id="5" name="Commit Link"/>
    <x:tableColumn id="6" name="Owner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f69c7de9e8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508ee0f11aa48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997b2c15fb5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5.55999755859375" hidden="0" customWidth="1"/>
    <x:col min="2" max="2" width="7.559999942779541" hidden="0" customWidth="1"/>
    <x:col min="3" max="3" width="45.779998779296875" hidden="0" customWidth="1"/>
    <x:col min="5" max="5" width="16" hidden="0" customWidth="1"/>
    <x:col min="6" max="6" width="90.22000122070312" hidden="0" customWidth="1"/>
  </x:cols>
  <x:sheetData>
    <x:row r="1">
      <x:c r="A1" s="2" t="str">
        <x:v>ProofDesk Level 5 User Feedback Workbook</x:v>
      </x:c>
      <x:c r="B1" s="2"/>
      <x:c r="C1" s="2"/>
      <x:c r="D1" s="2"/>
      <x:c r="E1" s="2"/>
      <x:c r="F1" s="2"/>
    </x:row>
    <x:row r="3">
      <x:c r="A3" s="8" t="str">
        <x:v>Use this workbook as the Excel export/analysis record for the Level 5 Google Form. Replace sample/blank rows with real exported responses before submission.</x:v>
      </x:c>
      <x:c r="B3" s="9"/>
      <x:c r="C3" s="9"/>
      <x:c r="D3" s="9"/>
      <x:c r="E3" s="9"/>
      <x:c r="F3" s="10"/>
    </x:row>
    <x:row r="5">
      <x:c r="A5" s="14" t="str">
        <x:v>Google Form Field</x:v>
      </x:c>
      <x:c r="B5" s="14" t="str">
        <x:v>Required</x:v>
      </x:c>
      <x:c r="C5" s="14" t="str">
        <x:v>Recommended wording</x:v>
      </x:c>
      <x:c r="E5" s="14" t="str">
        <x:v>Submission asset</x:v>
      </x:c>
      <x:c r="F5" s="14" t="str">
        <x:v>Location / link</x:v>
      </x:c>
    </x:row>
    <x:row r="6">
      <x:c r="A6" s="24" t="str">
        <x:v>Name</x:v>
      </x:c>
      <x:c r="B6" s="25" t="str">
        <x:v>Yes</x:v>
      </x:c>
      <x:c r="C6" s="26" t="str">
        <x:v>What is your name?</x:v>
      </x:c>
      <x:c r="E6" s="24" t="str">
        <x:v>Live app</x:v>
      </x:c>
      <x:c r="F6" s="26" t="str">
        <x:v>https://eliffvural.github.io/proofdesk-stellar-soroban-bootcamp/</x:v>
      </x:c>
    </x:row>
    <x:row r="7">
      <x:c r="A7" s="27" t="str">
        <x:v>Email</x:v>
      </x:c>
      <x:c r="B7" s="28" t="str">
        <x:v>Yes</x:v>
      </x:c>
      <x:c r="C7" s="29" t="str">
        <x:v>What email can we use for follow-up?</x:v>
      </x:c>
      <x:c r="E7" s="27" t="str">
        <x:v>Public repo</x:v>
      </x:c>
      <x:c r="F7" s="29" t="str">
        <x:v>https://github.com/eliffvural/proofdesk-stellar-soroban-bootcamp</x:v>
      </x:c>
    </x:row>
    <x:row r="8">
      <x:c r="A8" s="27" t="str">
        <x:v>Wallet Address</x:v>
      </x:c>
      <x:c r="B8" s="28" t="str">
        <x:v>Yes</x:v>
      </x:c>
      <x:c r="C8" s="29" t="str">
        <x:v>Paste the Stellar Testnet wallet address you used.</x:v>
      </x:c>
      <x:c r="E8" s="27" t="str">
        <x:v>Contract</x:v>
      </x:c>
      <x:c r="F8" s="29" t="str">
        <x:v>CAWMSCBHY4KJYSPOWPEPF2WNBHN6A2DNS5OS55ACV66CKWQP4GIDZEKI</x:v>
      </x:c>
    </x:row>
    <x:row r="9">
      <x:c r="A9" s="27" t="str">
        <x:v>Testnet Tx Hash</x:v>
      </x:c>
      <x:c r="B9" s="28" t="str">
        <x:v>Yes</x:v>
      </x:c>
      <x:c r="C9" s="29" t="str">
        <x:v>Paste your create_proof transaction hash or explorer URL.</x:v>
      </x:c>
      <x:c r="E9" s="27" t="str">
        <x:v>Feedback workbook</x:v>
      </x:c>
      <x:c r="F9" s="29" t="str">
        <x:v>docs/evidence/proofdesk-level5-user-feedback.xlsx</x:v>
      </x:c>
    </x:row>
    <x:row r="10">
      <x:c r="A10" s="27" t="str">
        <x:v>Use Case</x:v>
      </x:c>
      <x:c r="B10" s="28" t="str">
        <x:v>Yes</x:v>
      </x:c>
      <x:c r="C10" s="29" t="str">
        <x:v>Which use case did you test?</x:v>
      </x:c>
      <x:c r="E10" s="27" t="str">
        <x:v>Pitch deck</x:v>
      </x:c>
      <x:c r="F10" s="29" t="str">
        <x:v>docs/pitch/ProofDesk_Level5_Pitch_Deck.pptx</x:v>
      </x:c>
    </x:row>
    <x:row r="11">
      <x:c r="A11" s="27" t="str">
        <x:v>Product Rating</x:v>
      </x:c>
      <x:c r="B11" s="28" t="str">
        <x:v>Yes</x:v>
      </x:c>
      <x:c r="C11" s="29" t="str">
        <x:v>Rate ProofDesk from 1 to 5.</x:v>
      </x:c>
      <x:c r="E11" s="27" t="str">
        <x:v>Improvement commit</x:v>
      </x:c>
      <x:c r="F11" s="29" t="str">
        <x:v>https://github.com/eliffvural/proofdesk-stellar-soroban-bootcamp/commit/c53d1762b97e2b492f5d79be0dde23a81d612ef5</x:v>
      </x:c>
    </x:row>
    <x:row r="12">
      <x:c r="A12" s="27" t="str">
        <x:v>Product Feedback</x:v>
      </x:c>
      <x:c r="B12" s="28" t="str">
        <x:v>Yes</x:v>
      </x:c>
      <x:c r="C12" s="29" t="str">
        <x:v>What worked, what was confusing, and what should improve?</x:v>
      </x:c>
      <x:c r="E12" s="30" t="str">
        <x:v>Google Form</x:v>
      </x:c>
      <x:c r="F12" s="32" t="str">
        <x:v>TODO: paste live Google Form URL before submission</x:v>
      </x:c>
    </x:row>
    <x:row r="13">
      <x:c r="A13" s="27" t="str">
        <x:v>Follow-up Consent</x:v>
      </x:c>
      <x:c r="B13" s="28" t="str">
        <x:v>Optional</x:v>
      </x:c>
      <x:c r="C13" s="29" t="str">
        <x:v>May we contact you for the next test round?</x:v>
      </x:c>
    </x:row>
    <x:row r="14">
      <x:c r="A14" s="30" t="str">
        <x:v>Screenshot / Proof Link</x:v>
      </x:c>
      <x:c r="B14" s="31" t="str">
        <x:v>Optional</x:v>
      </x:c>
      <x:c r="C14" s="32" t="str">
        <x:v>Attach or link any transaction or app screenshot.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18" hidden="0" customWidth="1"/>
    <x:col min="15" max="15" width="18" hidden="0" customWidth="1"/>
  </x:cols>
  <x:sheetData>
    <x:row r="1">
      <x:c r="A1" s="14" t="str">
        <x:v>Timestamp</x:v>
      </x:c>
      <x:c r="B1" s="14" t="str">
        <x:v>Name</x:v>
      </x:c>
      <x:c r="C1" s="14" t="str">
        <x:v>Email</x:v>
      </x:c>
      <x:c r="D1" s="14" t="str">
        <x:v>Wallet Address</x:v>
      </x:c>
      <x:c r="E1" s="14" t="str">
        <x:v>Testnet Tx Hash</x:v>
      </x:c>
      <x:c r="F1" s="14" t="str">
        <x:v>Explorer URL</x:v>
      </x:c>
      <x:c r="G1" s="14" t="str">
        <x:v>Use Case</x:v>
      </x:c>
      <x:c r="H1" s="14" t="str">
        <x:v>Product Rating</x:v>
      </x:c>
      <x:c r="I1" s="14" t="str">
        <x:v>Product Feedback</x:v>
      </x:c>
      <x:c r="J1" s="14" t="str">
        <x:v>Status</x:v>
      </x:c>
      <x:c r="K1" s="14" t="str">
        <x:v>Follow-up Owner</x:v>
      </x:c>
      <x:c r="L1" s="14" t="str">
        <x:v>Improvement Theme</x:v>
      </x:c>
      <x:c r="M1" s="14" t="str">
        <x:v>Commit Link</x:v>
      </x:c>
      <x:c r="N1" s="14" t="str">
        <x:v>Unique Wallet Flag</x:v>
      </x:c>
      <x:c r="O1" s="14" t="str">
        <x:v>Signed Tx Flag</x:v>
      </x:c>
    </x:row>
    <x:row r="2">
      <x:c r="A2" s="54"/>
      <x:c r="B2" s="43"/>
      <x:c r="C2" s="43"/>
      <x:c r="D2" s="43"/>
      <x:c r="E2" s="43"/>
      <x:c r="F2" s="43"/>
      <x:c r="G2" s="43"/>
      <x:c r="H2" s="51"/>
      <x:c r="I2" s="43"/>
      <x:c r="J2" s="43" t="str">
        <x:f>IF(COUNTA(A2:I2)=0,"",IF(AND(D2&lt;&gt;"",E2&lt;&gt;"",G2&lt;&gt;"",H2&lt;&gt;""),"Ready","Needs info"))</x:f>
      </x:c>
      <x:c r="K2" s="43"/>
      <x:c r="L2" s="43"/>
      <x:c r="M2" s="43"/>
      <x:c r="N2" s="43" t="str">
        <x:f>IF(D2="","",IF(COUNTIF($D$2:D2,D2)=1,1,0))</x:f>
      </x:c>
      <x:c r="O2" s="44" t="n">
        <x:f>IF(E2&lt;&gt;"",1,0)</x:f>
        <x:v>0</x:v>
      </x:c>
    </x:row>
    <x:row r="3">
      <x:c r="A3" s="55"/>
      <x:c r="B3" s="46"/>
      <x:c r="C3" s="46"/>
      <x:c r="D3" s="46"/>
      <x:c r="E3" s="46"/>
      <x:c r="F3" s="46"/>
      <x:c r="G3" s="46"/>
      <x:c r="H3" s="52"/>
      <x:c r="I3" s="46"/>
      <x:c r="J3" s="46" t="str">
        <x:f>IF(COUNTA(A3:I3)=0,"",IF(AND(D3&lt;&gt;"",E3&lt;&gt;"",G3&lt;&gt;"",H3&lt;&gt;""),"Ready","Needs info"))</x:f>
      </x:c>
      <x:c r="K3" s="46"/>
      <x:c r="L3" s="46"/>
      <x:c r="M3" s="46"/>
      <x:c r="N3" s="46" t="str">
        <x:f>IF(D3="","",IF(COUNTIF($D$2:D3,D3)=1,1,0))</x:f>
      </x:c>
      <x:c r="O3" s="47" t="n">
        <x:f>IF(E3&lt;&gt;"",1,0)</x:f>
        <x:v>0</x:v>
      </x:c>
    </x:row>
    <x:row r="4">
      <x:c r="A4" s="55"/>
      <x:c r="B4" s="46"/>
      <x:c r="C4" s="46"/>
      <x:c r="D4" s="46"/>
      <x:c r="E4" s="46"/>
      <x:c r="F4" s="46"/>
      <x:c r="G4" s="46"/>
      <x:c r="H4" s="52"/>
      <x:c r="I4" s="46"/>
      <x:c r="J4" s="46" t="str">
        <x:f>IF(COUNTA(A4:I4)=0,"",IF(AND(D4&lt;&gt;"",E4&lt;&gt;"",G4&lt;&gt;"",H4&lt;&gt;""),"Ready","Needs info"))</x:f>
      </x:c>
      <x:c r="K4" s="46"/>
      <x:c r="L4" s="46"/>
      <x:c r="M4" s="46"/>
      <x:c r="N4" s="46" t="str">
        <x:f>IF(D4="","",IF(COUNTIF($D$2:D4,D4)=1,1,0))</x:f>
      </x:c>
      <x:c r="O4" s="47" t="n">
        <x:f>IF(E4&lt;&gt;"",1,0)</x:f>
        <x:v>0</x:v>
      </x:c>
    </x:row>
    <x:row r="5">
      <x:c r="A5" s="55"/>
      <x:c r="B5" s="46"/>
      <x:c r="C5" s="46"/>
      <x:c r="D5" s="46"/>
      <x:c r="E5" s="46"/>
      <x:c r="F5" s="46"/>
      <x:c r="G5" s="46"/>
      <x:c r="H5" s="52"/>
      <x:c r="I5" s="46"/>
      <x:c r="J5" s="46" t="str">
        <x:f>IF(COUNTA(A5:I5)=0,"",IF(AND(D5&lt;&gt;"",E5&lt;&gt;"",G5&lt;&gt;"",H5&lt;&gt;""),"Ready","Needs info"))</x:f>
      </x:c>
      <x:c r="K5" s="46"/>
      <x:c r="L5" s="46"/>
      <x:c r="M5" s="46"/>
      <x:c r="N5" s="46" t="str">
        <x:f>IF(D5="","",IF(COUNTIF($D$2:D5,D5)=1,1,0))</x:f>
      </x:c>
      <x:c r="O5" s="47" t="n">
        <x:f>IF(E5&lt;&gt;"",1,0)</x:f>
        <x:v>0</x:v>
      </x:c>
    </x:row>
    <x:row r="6">
      <x:c r="A6" s="55"/>
      <x:c r="B6" s="46"/>
      <x:c r="C6" s="46"/>
      <x:c r="D6" s="46"/>
      <x:c r="E6" s="46"/>
      <x:c r="F6" s="46"/>
      <x:c r="G6" s="46"/>
      <x:c r="H6" s="52"/>
      <x:c r="I6" s="46"/>
      <x:c r="J6" s="46" t="str">
        <x:f>IF(COUNTA(A6:I6)=0,"",IF(AND(D6&lt;&gt;"",E6&lt;&gt;"",G6&lt;&gt;"",H6&lt;&gt;""),"Ready","Needs info"))</x:f>
      </x:c>
      <x:c r="K6" s="46"/>
      <x:c r="L6" s="46"/>
      <x:c r="M6" s="46"/>
      <x:c r="N6" s="46" t="str">
        <x:f>IF(D6="","",IF(COUNTIF($D$2:D6,D6)=1,1,0))</x:f>
      </x:c>
      <x:c r="O6" s="47" t="n">
        <x:f>IF(E6&lt;&gt;"",1,0)</x:f>
        <x:v>0</x:v>
      </x:c>
    </x:row>
    <x:row r="7">
      <x:c r="A7" s="55"/>
      <x:c r="B7" s="46"/>
      <x:c r="C7" s="46"/>
      <x:c r="D7" s="46"/>
      <x:c r="E7" s="46"/>
      <x:c r="F7" s="46"/>
      <x:c r="G7" s="46"/>
      <x:c r="H7" s="52"/>
      <x:c r="I7" s="46"/>
      <x:c r="J7" s="46" t="str">
        <x:f>IF(COUNTA(A7:I7)=0,"",IF(AND(D7&lt;&gt;"",E7&lt;&gt;"",G7&lt;&gt;"",H7&lt;&gt;""),"Ready","Needs info"))</x:f>
      </x:c>
      <x:c r="K7" s="46"/>
      <x:c r="L7" s="46"/>
      <x:c r="M7" s="46"/>
      <x:c r="N7" s="46" t="str">
        <x:f>IF(D7="","",IF(COUNTIF($D$2:D7,D7)=1,1,0))</x:f>
      </x:c>
      <x:c r="O7" s="47" t="n">
        <x:f>IF(E7&lt;&gt;"",1,0)</x:f>
        <x:v>0</x:v>
      </x:c>
    </x:row>
    <x:row r="8">
      <x:c r="A8" s="55"/>
      <x:c r="B8" s="46"/>
      <x:c r="C8" s="46"/>
      <x:c r="D8" s="46"/>
      <x:c r="E8" s="46"/>
      <x:c r="F8" s="46"/>
      <x:c r="G8" s="46"/>
      <x:c r="H8" s="52"/>
      <x:c r="I8" s="46"/>
      <x:c r="J8" s="46" t="str">
        <x:f>IF(COUNTA(A8:I8)=0,"",IF(AND(D8&lt;&gt;"",E8&lt;&gt;"",G8&lt;&gt;"",H8&lt;&gt;""),"Ready","Needs info"))</x:f>
      </x:c>
      <x:c r="K8" s="46"/>
      <x:c r="L8" s="46"/>
      <x:c r="M8" s="46"/>
      <x:c r="N8" s="46" t="str">
        <x:f>IF(D8="","",IF(COUNTIF($D$2:D8,D8)=1,1,0))</x:f>
      </x:c>
      <x:c r="O8" s="47" t="n">
        <x:f>IF(E8&lt;&gt;"",1,0)</x:f>
        <x:v>0</x:v>
      </x:c>
    </x:row>
    <x:row r="9">
      <x:c r="A9" s="55"/>
      <x:c r="B9" s="46"/>
      <x:c r="C9" s="46"/>
      <x:c r="D9" s="46"/>
      <x:c r="E9" s="46"/>
      <x:c r="F9" s="46"/>
      <x:c r="G9" s="46"/>
      <x:c r="H9" s="52"/>
      <x:c r="I9" s="46"/>
      <x:c r="J9" s="46" t="str">
        <x:f>IF(COUNTA(A9:I9)=0,"",IF(AND(D9&lt;&gt;"",E9&lt;&gt;"",G9&lt;&gt;"",H9&lt;&gt;""),"Ready","Needs info"))</x:f>
      </x:c>
      <x:c r="K9" s="46"/>
      <x:c r="L9" s="46"/>
      <x:c r="M9" s="46"/>
      <x:c r="N9" s="46" t="str">
        <x:f>IF(D9="","",IF(COUNTIF($D$2:D9,D9)=1,1,0))</x:f>
      </x:c>
      <x:c r="O9" s="47" t="n">
        <x:f>IF(E9&lt;&gt;"",1,0)</x:f>
        <x:v>0</x:v>
      </x:c>
    </x:row>
    <x:row r="10">
      <x:c r="A10" s="55"/>
      <x:c r="B10" s="46"/>
      <x:c r="C10" s="46"/>
      <x:c r="D10" s="46"/>
      <x:c r="E10" s="46"/>
      <x:c r="F10" s="46"/>
      <x:c r="G10" s="46"/>
      <x:c r="H10" s="52"/>
      <x:c r="I10" s="46"/>
      <x:c r="J10" s="46" t="str">
        <x:f>IF(COUNTA(A10:I10)=0,"",IF(AND(D10&lt;&gt;"",E10&lt;&gt;"",G10&lt;&gt;"",H10&lt;&gt;""),"Ready","Needs info"))</x:f>
      </x:c>
      <x:c r="K10" s="46"/>
      <x:c r="L10" s="46"/>
      <x:c r="M10" s="46"/>
      <x:c r="N10" s="46" t="str">
        <x:f>IF(D10="","",IF(COUNTIF($D$2:D10,D10)=1,1,0))</x:f>
      </x:c>
      <x:c r="O10" s="47" t="n">
        <x:f>IF(E10&lt;&gt;"",1,0)</x:f>
        <x:v>0</x:v>
      </x:c>
    </x:row>
    <x:row r="11">
      <x:c r="A11" s="55"/>
      <x:c r="B11" s="46"/>
      <x:c r="C11" s="46"/>
      <x:c r="D11" s="46"/>
      <x:c r="E11" s="46"/>
      <x:c r="F11" s="46"/>
      <x:c r="G11" s="46"/>
      <x:c r="H11" s="52"/>
      <x:c r="I11" s="46"/>
      <x:c r="J11" s="46" t="str">
        <x:f>IF(COUNTA(A11:I11)=0,"",IF(AND(D11&lt;&gt;"",E11&lt;&gt;"",G11&lt;&gt;"",H11&lt;&gt;""),"Ready","Needs info"))</x:f>
      </x:c>
      <x:c r="K11" s="46"/>
      <x:c r="L11" s="46"/>
      <x:c r="M11" s="46"/>
      <x:c r="N11" s="46" t="str">
        <x:f>IF(D11="","",IF(COUNTIF($D$2:D11,D11)=1,1,0))</x:f>
      </x:c>
      <x:c r="O11" s="47" t="n">
        <x:f>IF(E11&lt;&gt;"",1,0)</x:f>
        <x:v>0</x:v>
      </x:c>
    </x:row>
    <x:row r="12">
      <x:c r="A12" s="55"/>
      <x:c r="B12" s="46"/>
      <x:c r="C12" s="46"/>
      <x:c r="D12" s="46"/>
      <x:c r="E12" s="46"/>
      <x:c r="F12" s="46"/>
      <x:c r="G12" s="46"/>
      <x:c r="H12" s="52"/>
      <x:c r="I12" s="46"/>
      <x:c r="J12" s="46" t="str">
        <x:f>IF(COUNTA(A12:I12)=0,"",IF(AND(D12&lt;&gt;"",E12&lt;&gt;"",G12&lt;&gt;"",H12&lt;&gt;""),"Ready","Needs info"))</x:f>
      </x:c>
      <x:c r="K12" s="46"/>
      <x:c r="L12" s="46"/>
      <x:c r="M12" s="46"/>
      <x:c r="N12" s="46" t="str">
        <x:f>IF(D12="","",IF(COUNTIF($D$2:D12,D12)=1,1,0))</x:f>
      </x:c>
      <x:c r="O12" s="47" t="n">
        <x:f>IF(E12&lt;&gt;"",1,0)</x:f>
        <x:v>0</x:v>
      </x:c>
    </x:row>
    <x:row r="13">
      <x:c r="A13" s="55"/>
      <x:c r="B13" s="46"/>
      <x:c r="C13" s="46"/>
      <x:c r="D13" s="46"/>
      <x:c r="E13" s="46"/>
      <x:c r="F13" s="46"/>
      <x:c r="G13" s="46"/>
      <x:c r="H13" s="52"/>
      <x:c r="I13" s="46"/>
      <x:c r="J13" s="46" t="str">
        <x:f>IF(COUNTA(A13:I13)=0,"",IF(AND(D13&lt;&gt;"",E13&lt;&gt;"",G13&lt;&gt;"",H13&lt;&gt;""),"Ready","Needs info"))</x:f>
      </x:c>
      <x:c r="K13" s="46"/>
      <x:c r="L13" s="46"/>
      <x:c r="M13" s="46"/>
      <x:c r="N13" s="46" t="str">
        <x:f>IF(D13="","",IF(COUNTIF($D$2:D13,D13)=1,1,0))</x:f>
      </x:c>
      <x:c r="O13" s="47" t="n">
        <x:f>IF(E13&lt;&gt;"",1,0)</x:f>
        <x:v>0</x:v>
      </x:c>
    </x:row>
    <x:row r="14">
      <x:c r="A14" s="55"/>
      <x:c r="B14" s="46"/>
      <x:c r="C14" s="46"/>
      <x:c r="D14" s="46"/>
      <x:c r="E14" s="46"/>
      <x:c r="F14" s="46"/>
      <x:c r="G14" s="46"/>
      <x:c r="H14" s="52"/>
      <x:c r="I14" s="46"/>
      <x:c r="J14" s="46" t="str">
        <x:f>IF(COUNTA(A14:I14)=0,"",IF(AND(D14&lt;&gt;"",E14&lt;&gt;"",G14&lt;&gt;"",H14&lt;&gt;""),"Ready","Needs info"))</x:f>
      </x:c>
      <x:c r="K14" s="46"/>
      <x:c r="L14" s="46"/>
      <x:c r="M14" s="46"/>
      <x:c r="N14" s="46" t="str">
        <x:f>IF(D14="","",IF(COUNTIF($D$2:D14,D14)=1,1,0))</x:f>
      </x:c>
      <x:c r="O14" s="47" t="n">
        <x:f>IF(E14&lt;&gt;"",1,0)</x:f>
        <x:v>0</x:v>
      </x:c>
    </x:row>
    <x:row r="15">
      <x:c r="A15" s="55"/>
      <x:c r="B15" s="46"/>
      <x:c r="C15" s="46"/>
      <x:c r="D15" s="46"/>
      <x:c r="E15" s="46"/>
      <x:c r="F15" s="46"/>
      <x:c r="G15" s="46"/>
      <x:c r="H15" s="52"/>
      <x:c r="I15" s="46"/>
      <x:c r="J15" s="46" t="str">
        <x:f>IF(COUNTA(A15:I15)=0,"",IF(AND(D15&lt;&gt;"",E15&lt;&gt;"",G15&lt;&gt;"",H15&lt;&gt;""),"Ready","Needs info"))</x:f>
      </x:c>
      <x:c r="K15" s="46"/>
      <x:c r="L15" s="46"/>
      <x:c r="M15" s="46"/>
      <x:c r="N15" s="46" t="str">
        <x:f>IF(D15="","",IF(COUNTIF($D$2:D15,D15)=1,1,0))</x:f>
      </x:c>
      <x:c r="O15" s="47" t="n">
        <x:f>IF(E15&lt;&gt;"",1,0)</x:f>
        <x:v>0</x:v>
      </x:c>
    </x:row>
    <x:row r="16">
      <x:c r="A16" s="55"/>
      <x:c r="B16" s="46"/>
      <x:c r="C16" s="46"/>
      <x:c r="D16" s="46"/>
      <x:c r="E16" s="46"/>
      <x:c r="F16" s="46"/>
      <x:c r="G16" s="46"/>
      <x:c r="H16" s="52"/>
      <x:c r="I16" s="46"/>
      <x:c r="J16" s="46" t="str">
        <x:f>IF(COUNTA(A16:I16)=0,"",IF(AND(D16&lt;&gt;"",E16&lt;&gt;"",G16&lt;&gt;"",H16&lt;&gt;""),"Ready","Needs info"))</x:f>
      </x:c>
      <x:c r="K16" s="46"/>
      <x:c r="L16" s="46"/>
      <x:c r="M16" s="46"/>
      <x:c r="N16" s="46" t="str">
        <x:f>IF(D16="","",IF(COUNTIF($D$2:D16,D16)=1,1,0))</x:f>
      </x:c>
      <x:c r="O16" s="47" t="n">
        <x:f>IF(E16&lt;&gt;"",1,0)</x:f>
        <x:v>0</x:v>
      </x:c>
    </x:row>
    <x:row r="17">
      <x:c r="A17" s="55"/>
      <x:c r="B17" s="46"/>
      <x:c r="C17" s="46"/>
      <x:c r="D17" s="46"/>
      <x:c r="E17" s="46"/>
      <x:c r="F17" s="46"/>
      <x:c r="G17" s="46"/>
      <x:c r="H17" s="52"/>
      <x:c r="I17" s="46"/>
      <x:c r="J17" s="46" t="str">
        <x:f>IF(COUNTA(A17:I17)=0,"",IF(AND(D17&lt;&gt;"",E17&lt;&gt;"",G17&lt;&gt;"",H17&lt;&gt;""),"Ready","Needs info"))</x:f>
      </x:c>
      <x:c r="K17" s="46"/>
      <x:c r="L17" s="46"/>
      <x:c r="M17" s="46"/>
      <x:c r="N17" s="46" t="str">
        <x:f>IF(D17="","",IF(COUNTIF($D$2:D17,D17)=1,1,0))</x:f>
      </x:c>
      <x:c r="O17" s="47" t="n">
        <x:f>IF(E17&lt;&gt;"",1,0)</x:f>
        <x:v>0</x:v>
      </x:c>
    </x:row>
    <x:row r="18">
      <x:c r="A18" s="55"/>
      <x:c r="B18" s="46"/>
      <x:c r="C18" s="46"/>
      <x:c r="D18" s="46"/>
      <x:c r="E18" s="46"/>
      <x:c r="F18" s="46"/>
      <x:c r="G18" s="46"/>
      <x:c r="H18" s="52"/>
      <x:c r="I18" s="46"/>
      <x:c r="J18" s="46" t="str">
        <x:f>IF(COUNTA(A18:I18)=0,"",IF(AND(D18&lt;&gt;"",E18&lt;&gt;"",G18&lt;&gt;"",H18&lt;&gt;""),"Ready","Needs info"))</x:f>
      </x:c>
      <x:c r="K18" s="46"/>
      <x:c r="L18" s="46"/>
      <x:c r="M18" s="46"/>
      <x:c r="N18" s="46" t="str">
        <x:f>IF(D18="","",IF(COUNTIF($D$2:D18,D18)=1,1,0))</x:f>
      </x:c>
      <x:c r="O18" s="47" t="n">
        <x:f>IF(E18&lt;&gt;"",1,0)</x:f>
        <x:v>0</x:v>
      </x:c>
    </x:row>
    <x:row r="19">
      <x:c r="A19" s="55"/>
      <x:c r="B19" s="46"/>
      <x:c r="C19" s="46"/>
      <x:c r="D19" s="46"/>
      <x:c r="E19" s="46"/>
      <x:c r="F19" s="46"/>
      <x:c r="G19" s="46"/>
      <x:c r="H19" s="52"/>
      <x:c r="I19" s="46"/>
      <x:c r="J19" s="46" t="str">
        <x:f>IF(COUNTA(A19:I19)=0,"",IF(AND(D19&lt;&gt;"",E19&lt;&gt;"",G19&lt;&gt;"",H19&lt;&gt;""),"Ready","Needs info"))</x:f>
      </x:c>
      <x:c r="K19" s="46"/>
      <x:c r="L19" s="46"/>
      <x:c r="M19" s="46"/>
      <x:c r="N19" s="46" t="str">
        <x:f>IF(D19="","",IF(COUNTIF($D$2:D19,D19)=1,1,0))</x:f>
      </x:c>
      <x:c r="O19" s="47" t="n">
        <x:f>IF(E19&lt;&gt;"",1,0)</x:f>
        <x:v>0</x:v>
      </x:c>
    </x:row>
    <x:row r="20">
      <x:c r="A20" s="55"/>
      <x:c r="B20" s="46"/>
      <x:c r="C20" s="46"/>
      <x:c r="D20" s="46"/>
      <x:c r="E20" s="46"/>
      <x:c r="F20" s="46"/>
      <x:c r="G20" s="46"/>
      <x:c r="H20" s="52"/>
      <x:c r="I20" s="46"/>
      <x:c r="J20" s="46" t="str">
        <x:f>IF(COUNTA(A20:I20)=0,"",IF(AND(D20&lt;&gt;"",E20&lt;&gt;"",G20&lt;&gt;"",H20&lt;&gt;""),"Ready","Needs info"))</x:f>
      </x:c>
      <x:c r="K20" s="46"/>
      <x:c r="L20" s="46"/>
      <x:c r="M20" s="46"/>
      <x:c r="N20" s="46" t="str">
        <x:f>IF(D20="","",IF(COUNTIF($D$2:D20,D20)=1,1,0))</x:f>
      </x:c>
      <x:c r="O20" s="47" t="n">
        <x:f>IF(E20&lt;&gt;"",1,0)</x:f>
        <x:v>0</x:v>
      </x:c>
    </x:row>
    <x:row r="21">
      <x:c r="A21" s="55"/>
      <x:c r="B21" s="46"/>
      <x:c r="C21" s="46"/>
      <x:c r="D21" s="46"/>
      <x:c r="E21" s="46"/>
      <x:c r="F21" s="46"/>
      <x:c r="G21" s="46"/>
      <x:c r="H21" s="52"/>
      <x:c r="I21" s="46"/>
      <x:c r="J21" s="46" t="str">
        <x:f>IF(COUNTA(A21:I21)=0,"",IF(AND(D21&lt;&gt;"",E21&lt;&gt;"",G21&lt;&gt;"",H21&lt;&gt;""),"Ready","Needs info"))</x:f>
      </x:c>
      <x:c r="K21" s="46"/>
      <x:c r="L21" s="46"/>
      <x:c r="M21" s="46"/>
      <x:c r="N21" s="46" t="str">
        <x:f>IF(D21="","",IF(COUNTIF($D$2:D21,D21)=1,1,0))</x:f>
      </x:c>
      <x:c r="O21" s="47" t="n">
        <x:f>IF(E21&lt;&gt;"",1,0)</x:f>
        <x:v>0</x:v>
      </x:c>
    </x:row>
    <x:row r="22">
      <x:c r="A22" s="55"/>
      <x:c r="B22" s="46"/>
      <x:c r="C22" s="46"/>
      <x:c r="D22" s="46"/>
      <x:c r="E22" s="46"/>
      <x:c r="F22" s="46"/>
      <x:c r="G22" s="46"/>
      <x:c r="H22" s="52"/>
      <x:c r="I22" s="46"/>
      <x:c r="J22" s="46" t="str">
        <x:f>IF(COUNTA(A22:I22)=0,"",IF(AND(D22&lt;&gt;"",E22&lt;&gt;"",G22&lt;&gt;"",H22&lt;&gt;""),"Ready","Needs info"))</x:f>
      </x:c>
      <x:c r="K22" s="46"/>
      <x:c r="L22" s="46"/>
      <x:c r="M22" s="46"/>
      <x:c r="N22" s="46" t="str">
        <x:f>IF(D22="","",IF(COUNTIF($D$2:D22,D22)=1,1,0))</x:f>
      </x:c>
      <x:c r="O22" s="47" t="n">
        <x:f>IF(E22&lt;&gt;"",1,0)</x:f>
        <x:v>0</x:v>
      </x:c>
    </x:row>
    <x:row r="23">
      <x:c r="A23" s="55"/>
      <x:c r="B23" s="46"/>
      <x:c r="C23" s="46"/>
      <x:c r="D23" s="46"/>
      <x:c r="E23" s="46"/>
      <x:c r="F23" s="46"/>
      <x:c r="G23" s="46"/>
      <x:c r="H23" s="52"/>
      <x:c r="I23" s="46"/>
      <x:c r="J23" s="46" t="str">
        <x:f>IF(COUNTA(A23:I23)=0,"",IF(AND(D23&lt;&gt;"",E23&lt;&gt;"",G23&lt;&gt;"",H23&lt;&gt;""),"Ready","Needs info"))</x:f>
      </x:c>
      <x:c r="K23" s="46"/>
      <x:c r="L23" s="46"/>
      <x:c r="M23" s="46"/>
      <x:c r="N23" s="46" t="str">
        <x:f>IF(D23="","",IF(COUNTIF($D$2:D23,D23)=1,1,0))</x:f>
      </x:c>
      <x:c r="O23" s="47" t="n">
        <x:f>IF(E23&lt;&gt;"",1,0)</x:f>
        <x:v>0</x:v>
      </x:c>
    </x:row>
    <x:row r="24">
      <x:c r="A24" s="55"/>
      <x:c r="B24" s="46"/>
      <x:c r="C24" s="46"/>
      <x:c r="D24" s="46"/>
      <x:c r="E24" s="46"/>
      <x:c r="F24" s="46"/>
      <x:c r="G24" s="46"/>
      <x:c r="H24" s="52"/>
      <x:c r="I24" s="46"/>
      <x:c r="J24" s="46" t="str">
        <x:f>IF(COUNTA(A24:I24)=0,"",IF(AND(D24&lt;&gt;"",E24&lt;&gt;"",G24&lt;&gt;"",H24&lt;&gt;""),"Ready","Needs info"))</x:f>
      </x:c>
      <x:c r="K24" s="46"/>
      <x:c r="L24" s="46"/>
      <x:c r="M24" s="46"/>
      <x:c r="N24" s="46" t="str">
        <x:f>IF(D24="","",IF(COUNTIF($D$2:D24,D24)=1,1,0))</x:f>
      </x:c>
      <x:c r="O24" s="47" t="n">
        <x:f>IF(E24&lt;&gt;"",1,0)</x:f>
        <x:v>0</x:v>
      </x:c>
    </x:row>
    <x:row r="25">
      <x:c r="A25" s="55"/>
      <x:c r="B25" s="46"/>
      <x:c r="C25" s="46"/>
      <x:c r="D25" s="46"/>
      <x:c r="E25" s="46"/>
      <x:c r="F25" s="46"/>
      <x:c r="G25" s="46"/>
      <x:c r="H25" s="52"/>
      <x:c r="I25" s="46"/>
      <x:c r="J25" s="46" t="str">
        <x:f>IF(COUNTA(A25:I25)=0,"",IF(AND(D25&lt;&gt;"",E25&lt;&gt;"",G25&lt;&gt;"",H25&lt;&gt;""),"Ready","Needs info"))</x:f>
      </x:c>
      <x:c r="K25" s="46"/>
      <x:c r="L25" s="46"/>
      <x:c r="M25" s="46"/>
      <x:c r="N25" s="46" t="str">
        <x:f>IF(D25="","",IF(COUNTIF($D$2:D25,D25)=1,1,0))</x:f>
      </x:c>
      <x:c r="O25" s="47" t="n">
        <x:f>IF(E25&lt;&gt;"",1,0)</x:f>
        <x:v>0</x:v>
      </x:c>
    </x:row>
    <x:row r="26">
      <x:c r="A26" s="55"/>
      <x:c r="B26" s="46"/>
      <x:c r="C26" s="46"/>
      <x:c r="D26" s="46"/>
      <x:c r="E26" s="46"/>
      <x:c r="F26" s="46"/>
      <x:c r="G26" s="46"/>
      <x:c r="H26" s="52"/>
      <x:c r="I26" s="46"/>
      <x:c r="J26" s="46" t="str">
        <x:f>IF(COUNTA(A26:I26)=0,"",IF(AND(D26&lt;&gt;"",E26&lt;&gt;"",G26&lt;&gt;"",H26&lt;&gt;""),"Ready","Needs info"))</x:f>
      </x:c>
      <x:c r="K26" s="46"/>
      <x:c r="L26" s="46"/>
      <x:c r="M26" s="46"/>
      <x:c r="N26" s="46" t="str">
        <x:f>IF(D26="","",IF(COUNTIF($D$2:D26,D26)=1,1,0))</x:f>
      </x:c>
      <x:c r="O26" s="47" t="n">
        <x:f>IF(E26&lt;&gt;"",1,0)</x:f>
        <x:v>0</x:v>
      </x:c>
    </x:row>
    <x:row r="27">
      <x:c r="A27" s="55"/>
      <x:c r="B27" s="46"/>
      <x:c r="C27" s="46"/>
      <x:c r="D27" s="46"/>
      <x:c r="E27" s="46"/>
      <x:c r="F27" s="46"/>
      <x:c r="G27" s="46"/>
      <x:c r="H27" s="52"/>
      <x:c r="I27" s="46"/>
      <x:c r="J27" s="46" t="str">
        <x:f>IF(COUNTA(A27:I27)=0,"",IF(AND(D27&lt;&gt;"",E27&lt;&gt;"",G27&lt;&gt;"",H27&lt;&gt;""),"Ready","Needs info"))</x:f>
      </x:c>
      <x:c r="K27" s="46"/>
      <x:c r="L27" s="46"/>
      <x:c r="M27" s="46"/>
      <x:c r="N27" s="46" t="str">
        <x:f>IF(D27="","",IF(COUNTIF($D$2:D27,D27)=1,1,0))</x:f>
      </x:c>
      <x:c r="O27" s="47" t="n">
        <x:f>IF(E27&lt;&gt;"",1,0)</x:f>
        <x:v>0</x:v>
      </x:c>
    </x:row>
    <x:row r="28">
      <x:c r="A28" s="55"/>
      <x:c r="B28" s="46"/>
      <x:c r="C28" s="46"/>
      <x:c r="D28" s="46"/>
      <x:c r="E28" s="46"/>
      <x:c r="F28" s="46"/>
      <x:c r="G28" s="46"/>
      <x:c r="H28" s="52"/>
      <x:c r="I28" s="46"/>
      <x:c r="J28" s="46" t="str">
        <x:f>IF(COUNTA(A28:I28)=0,"",IF(AND(D28&lt;&gt;"",E28&lt;&gt;"",G28&lt;&gt;"",H28&lt;&gt;""),"Ready","Needs info"))</x:f>
      </x:c>
      <x:c r="K28" s="46"/>
      <x:c r="L28" s="46"/>
      <x:c r="M28" s="46"/>
      <x:c r="N28" s="46" t="str">
        <x:f>IF(D28="","",IF(COUNTIF($D$2:D28,D28)=1,1,0))</x:f>
      </x:c>
      <x:c r="O28" s="47" t="n">
        <x:f>IF(E28&lt;&gt;"",1,0)</x:f>
        <x:v>0</x:v>
      </x:c>
    </x:row>
    <x:row r="29">
      <x:c r="A29" s="55"/>
      <x:c r="B29" s="46"/>
      <x:c r="C29" s="46"/>
      <x:c r="D29" s="46"/>
      <x:c r="E29" s="46"/>
      <x:c r="F29" s="46"/>
      <x:c r="G29" s="46"/>
      <x:c r="H29" s="52"/>
      <x:c r="I29" s="46"/>
      <x:c r="J29" s="46" t="str">
        <x:f>IF(COUNTA(A29:I29)=0,"",IF(AND(D29&lt;&gt;"",E29&lt;&gt;"",G29&lt;&gt;"",H29&lt;&gt;""),"Ready","Needs info"))</x:f>
      </x:c>
      <x:c r="K29" s="46"/>
      <x:c r="L29" s="46"/>
      <x:c r="M29" s="46"/>
      <x:c r="N29" s="46" t="str">
        <x:f>IF(D29="","",IF(COUNTIF($D$2:D29,D29)=1,1,0))</x:f>
      </x:c>
      <x:c r="O29" s="47" t="n">
        <x:f>IF(E29&lt;&gt;"",1,0)</x:f>
        <x:v>0</x:v>
      </x:c>
    </x:row>
    <x:row r="30">
      <x:c r="A30" s="55"/>
      <x:c r="B30" s="46"/>
      <x:c r="C30" s="46"/>
      <x:c r="D30" s="46"/>
      <x:c r="E30" s="46"/>
      <x:c r="F30" s="46"/>
      <x:c r="G30" s="46"/>
      <x:c r="H30" s="52"/>
      <x:c r="I30" s="46"/>
      <x:c r="J30" s="46" t="str">
        <x:f>IF(COUNTA(A30:I30)=0,"",IF(AND(D30&lt;&gt;"",E30&lt;&gt;"",G30&lt;&gt;"",H30&lt;&gt;""),"Ready","Needs info"))</x:f>
      </x:c>
      <x:c r="K30" s="46"/>
      <x:c r="L30" s="46"/>
      <x:c r="M30" s="46"/>
      <x:c r="N30" s="46" t="str">
        <x:f>IF(D30="","",IF(COUNTIF($D$2:D30,D30)=1,1,0))</x:f>
      </x:c>
      <x:c r="O30" s="47" t="n">
        <x:f>IF(E30&lt;&gt;"",1,0)</x:f>
        <x:v>0</x:v>
      </x:c>
    </x:row>
    <x:row r="31">
      <x:c r="A31" s="55"/>
      <x:c r="B31" s="46"/>
      <x:c r="C31" s="46"/>
      <x:c r="D31" s="46"/>
      <x:c r="E31" s="46"/>
      <x:c r="F31" s="46"/>
      <x:c r="G31" s="46"/>
      <x:c r="H31" s="52"/>
      <x:c r="I31" s="46"/>
      <x:c r="J31" s="46" t="str">
        <x:f>IF(COUNTA(A31:I31)=0,"",IF(AND(D31&lt;&gt;"",E31&lt;&gt;"",G31&lt;&gt;"",H31&lt;&gt;""),"Ready","Needs info"))</x:f>
      </x:c>
      <x:c r="K31" s="46"/>
      <x:c r="L31" s="46"/>
      <x:c r="M31" s="46"/>
      <x:c r="N31" s="46" t="str">
        <x:f>IF(D31="","",IF(COUNTIF($D$2:D31,D31)=1,1,0))</x:f>
      </x:c>
      <x:c r="O31" s="47" t="n">
        <x:f>IF(E31&lt;&gt;"",1,0)</x:f>
        <x:v>0</x:v>
      </x:c>
    </x:row>
    <x:row r="32">
      <x:c r="A32" s="55"/>
      <x:c r="B32" s="46"/>
      <x:c r="C32" s="46"/>
      <x:c r="D32" s="46"/>
      <x:c r="E32" s="46"/>
      <x:c r="F32" s="46"/>
      <x:c r="G32" s="46"/>
      <x:c r="H32" s="52"/>
      <x:c r="I32" s="46"/>
      <x:c r="J32" s="46" t="str">
        <x:f>IF(COUNTA(A32:I32)=0,"",IF(AND(D32&lt;&gt;"",E32&lt;&gt;"",G32&lt;&gt;"",H32&lt;&gt;""),"Ready","Needs info"))</x:f>
      </x:c>
      <x:c r="K32" s="46"/>
      <x:c r="L32" s="46"/>
      <x:c r="M32" s="46"/>
      <x:c r="N32" s="46" t="str">
        <x:f>IF(D32="","",IF(COUNTIF($D$2:D32,D32)=1,1,0))</x:f>
      </x:c>
      <x:c r="O32" s="47" t="n">
        <x:f>IF(E32&lt;&gt;"",1,0)</x:f>
        <x:v>0</x:v>
      </x:c>
    </x:row>
    <x:row r="33">
      <x:c r="A33" s="55"/>
      <x:c r="B33" s="46"/>
      <x:c r="C33" s="46"/>
      <x:c r="D33" s="46"/>
      <x:c r="E33" s="46"/>
      <x:c r="F33" s="46"/>
      <x:c r="G33" s="46"/>
      <x:c r="H33" s="52"/>
      <x:c r="I33" s="46"/>
      <x:c r="J33" s="46" t="str">
        <x:f>IF(COUNTA(A33:I33)=0,"",IF(AND(D33&lt;&gt;"",E33&lt;&gt;"",G33&lt;&gt;"",H33&lt;&gt;""),"Ready","Needs info"))</x:f>
      </x:c>
      <x:c r="K33" s="46"/>
      <x:c r="L33" s="46"/>
      <x:c r="M33" s="46"/>
      <x:c r="N33" s="46" t="str">
        <x:f>IF(D33="","",IF(COUNTIF($D$2:D33,D33)=1,1,0))</x:f>
      </x:c>
      <x:c r="O33" s="47" t="n">
        <x:f>IF(E33&lt;&gt;"",1,0)</x:f>
        <x:v>0</x:v>
      </x:c>
    </x:row>
    <x:row r="34">
      <x:c r="A34" s="55"/>
      <x:c r="B34" s="46"/>
      <x:c r="C34" s="46"/>
      <x:c r="D34" s="46"/>
      <x:c r="E34" s="46"/>
      <x:c r="F34" s="46"/>
      <x:c r="G34" s="46"/>
      <x:c r="H34" s="52"/>
      <x:c r="I34" s="46"/>
      <x:c r="J34" s="46" t="str">
        <x:f>IF(COUNTA(A34:I34)=0,"",IF(AND(D34&lt;&gt;"",E34&lt;&gt;"",G34&lt;&gt;"",H34&lt;&gt;""),"Ready","Needs info"))</x:f>
      </x:c>
      <x:c r="K34" s="46"/>
      <x:c r="L34" s="46"/>
      <x:c r="M34" s="46"/>
      <x:c r="N34" s="46" t="str">
        <x:f>IF(D34="","",IF(COUNTIF($D$2:D34,D34)=1,1,0))</x:f>
      </x:c>
      <x:c r="O34" s="47" t="n">
        <x:f>IF(E34&lt;&gt;"",1,0)</x:f>
        <x:v>0</x:v>
      </x:c>
    </x:row>
    <x:row r="35">
      <x:c r="A35" s="55"/>
      <x:c r="B35" s="46"/>
      <x:c r="C35" s="46"/>
      <x:c r="D35" s="46"/>
      <x:c r="E35" s="46"/>
      <x:c r="F35" s="46"/>
      <x:c r="G35" s="46"/>
      <x:c r="H35" s="52"/>
      <x:c r="I35" s="46"/>
      <x:c r="J35" s="46" t="str">
        <x:f>IF(COUNTA(A35:I35)=0,"",IF(AND(D35&lt;&gt;"",E35&lt;&gt;"",G35&lt;&gt;"",H35&lt;&gt;""),"Ready","Needs info"))</x:f>
      </x:c>
      <x:c r="K35" s="46"/>
      <x:c r="L35" s="46"/>
      <x:c r="M35" s="46"/>
      <x:c r="N35" s="46" t="str">
        <x:f>IF(D35="","",IF(COUNTIF($D$2:D35,D35)=1,1,0))</x:f>
      </x:c>
      <x:c r="O35" s="47" t="n">
        <x:f>IF(E35&lt;&gt;"",1,0)</x:f>
        <x:v>0</x:v>
      </x:c>
    </x:row>
    <x:row r="36">
      <x:c r="A36" s="55"/>
      <x:c r="B36" s="46"/>
      <x:c r="C36" s="46"/>
      <x:c r="D36" s="46"/>
      <x:c r="E36" s="46"/>
      <x:c r="F36" s="46"/>
      <x:c r="G36" s="46"/>
      <x:c r="H36" s="52"/>
      <x:c r="I36" s="46"/>
      <x:c r="J36" s="46" t="str">
        <x:f>IF(COUNTA(A36:I36)=0,"",IF(AND(D36&lt;&gt;"",E36&lt;&gt;"",G36&lt;&gt;"",H36&lt;&gt;""),"Ready","Needs info"))</x:f>
      </x:c>
      <x:c r="K36" s="46"/>
      <x:c r="L36" s="46"/>
      <x:c r="M36" s="46"/>
      <x:c r="N36" s="46" t="str">
        <x:f>IF(D36="","",IF(COUNTIF($D$2:D36,D36)=1,1,0))</x:f>
      </x:c>
      <x:c r="O36" s="47" t="n">
        <x:f>IF(E36&lt;&gt;"",1,0)</x:f>
        <x:v>0</x:v>
      </x:c>
    </x:row>
    <x:row r="37">
      <x:c r="A37" s="55"/>
      <x:c r="B37" s="46"/>
      <x:c r="C37" s="46"/>
      <x:c r="D37" s="46"/>
      <x:c r="E37" s="46"/>
      <x:c r="F37" s="46"/>
      <x:c r="G37" s="46"/>
      <x:c r="H37" s="52"/>
      <x:c r="I37" s="46"/>
      <x:c r="J37" s="46" t="str">
        <x:f>IF(COUNTA(A37:I37)=0,"",IF(AND(D37&lt;&gt;"",E37&lt;&gt;"",G37&lt;&gt;"",H37&lt;&gt;""),"Ready","Needs info"))</x:f>
      </x:c>
      <x:c r="K37" s="46"/>
      <x:c r="L37" s="46"/>
      <x:c r="M37" s="46"/>
      <x:c r="N37" s="46" t="str">
        <x:f>IF(D37="","",IF(COUNTIF($D$2:D37,D37)=1,1,0))</x:f>
      </x:c>
      <x:c r="O37" s="47" t="n">
        <x:f>IF(E37&lt;&gt;"",1,0)</x:f>
        <x:v>0</x:v>
      </x:c>
    </x:row>
    <x:row r="38">
      <x:c r="A38" s="55"/>
      <x:c r="B38" s="46"/>
      <x:c r="C38" s="46"/>
      <x:c r="D38" s="46"/>
      <x:c r="E38" s="46"/>
      <x:c r="F38" s="46"/>
      <x:c r="G38" s="46"/>
      <x:c r="H38" s="52"/>
      <x:c r="I38" s="46"/>
      <x:c r="J38" s="46" t="str">
        <x:f>IF(COUNTA(A38:I38)=0,"",IF(AND(D38&lt;&gt;"",E38&lt;&gt;"",G38&lt;&gt;"",H38&lt;&gt;""),"Ready","Needs info"))</x:f>
      </x:c>
      <x:c r="K38" s="46"/>
      <x:c r="L38" s="46"/>
      <x:c r="M38" s="46"/>
      <x:c r="N38" s="46" t="str">
        <x:f>IF(D38="","",IF(COUNTIF($D$2:D38,D38)=1,1,0))</x:f>
      </x:c>
      <x:c r="O38" s="47" t="n">
        <x:f>IF(E38&lt;&gt;"",1,0)</x:f>
        <x:v>0</x:v>
      </x:c>
    </x:row>
    <x:row r="39">
      <x:c r="A39" s="55"/>
      <x:c r="B39" s="46"/>
      <x:c r="C39" s="46"/>
      <x:c r="D39" s="46"/>
      <x:c r="E39" s="46"/>
      <x:c r="F39" s="46"/>
      <x:c r="G39" s="46"/>
      <x:c r="H39" s="52"/>
      <x:c r="I39" s="46"/>
      <x:c r="J39" s="46" t="str">
        <x:f>IF(COUNTA(A39:I39)=0,"",IF(AND(D39&lt;&gt;"",E39&lt;&gt;"",G39&lt;&gt;"",H39&lt;&gt;""),"Ready","Needs info"))</x:f>
      </x:c>
      <x:c r="K39" s="46"/>
      <x:c r="L39" s="46"/>
      <x:c r="M39" s="46"/>
      <x:c r="N39" s="46" t="str">
        <x:f>IF(D39="","",IF(COUNTIF($D$2:D39,D39)=1,1,0))</x:f>
      </x:c>
      <x:c r="O39" s="47" t="n">
        <x:f>IF(E39&lt;&gt;"",1,0)</x:f>
        <x:v>0</x:v>
      </x:c>
    </x:row>
    <x:row r="40">
      <x:c r="A40" s="55"/>
      <x:c r="B40" s="46"/>
      <x:c r="C40" s="46"/>
      <x:c r="D40" s="46"/>
      <x:c r="E40" s="46"/>
      <x:c r="F40" s="46"/>
      <x:c r="G40" s="46"/>
      <x:c r="H40" s="52"/>
      <x:c r="I40" s="46"/>
      <x:c r="J40" s="46" t="str">
        <x:f>IF(COUNTA(A40:I40)=0,"",IF(AND(D40&lt;&gt;"",E40&lt;&gt;"",G40&lt;&gt;"",H40&lt;&gt;""),"Ready","Needs info"))</x:f>
      </x:c>
      <x:c r="K40" s="46"/>
      <x:c r="L40" s="46"/>
      <x:c r="M40" s="46"/>
      <x:c r="N40" s="46" t="str">
        <x:f>IF(D40="","",IF(COUNTIF($D$2:D40,D40)=1,1,0))</x:f>
      </x:c>
      <x:c r="O40" s="47" t="n">
        <x:f>IF(E40&lt;&gt;"",1,0)</x:f>
        <x:v>0</x:v>
      </x:c>
    </x:row>
    <x:row r="41">
      <x:c r="A41" s="55"/>
      <x:c r="B41" s="46"/>
      <x:c r="C41" s="46"/>
      <x:c r="D41" s="46"/>
      <x:c r="E41" s="46"/>
      <x:c r="F41" s="46"/>
      <x:c r="G41" s="46"/>
      <x:c r="H41" s="52"/>
      <x:c r="I41" s="46"/>
      <x:c r="J41" s="46" t="str">
        <x:f>IF(COUNTA(A41:I41)=0,"",IF(AND(D41&lt;&gt;"",E41&lt;&gt;"",G41&lt;&gt;"",H41&lt;&gt;""),"Ready","Needs info"))</x:f>
      </x:c>
      <x:c r="K41" s="46"/>
      <x:c r="L41" s="46"/>
      <x:c r="M41" s="46"/>
      <x:c r="N41" s="46" t="str">
        <x:f>IF(D41="","",IF(COUNTIF($D$2:D41,D41)=1,1,0))</x:f>
      </x:c>
      <x:c r="O41" s="47" t="n">
        <x:f>IF(E41&lt;&gt;"",1,0)</x:f>
        <x:v>0</x:v>
      </x:c>
    </x:row>
    <x:row r="42">
      <x:c r="A42" s="55"/>
      <x:c r="B42" s="46"/>
      <x:c r="C42" s="46"/>
      <x:c r="D42" s="46"/>
      <x:c r="E42" s="46"/>
      <x:c r="F42" s="46"/>
      <x:c r="G42" s="46"/>
      <x:c r="H42" s="52"/>
      <x:c r="I42" s="46"/>
      <x:c r="J42" s="46" t="str">
        <x:f>IF(COUNTA(A42:I42)=0,"",IF(AND(D42&lt;&gt;"",E42&lt;&gt;"",G42&lt;&gt;"",H42&lt;&gt;""),"Ready","Needs info"))</x:f>
      </x:c>
      <x:c r="K42" s="46"/>
      <x:c r="L42" s="46"/>
      <x:c r="M42" s="46"/>
      <x:c r="N42" s="46" t="str">
        <x:f>IF(D42="","",IF(COUNTIF($D$2:D42,D42)=1,1,0))</x:f>
      </x:c>
      <x:c r="O42" s="47" t="n">
        <x:f>IF(E42&lt;&gt;"",1,0)</x:f>
        <x:v>0</x:v>
      </x:c>
    </x:row>
    <x:row r="43">
      <x:c r="A43" s="55"/>
      <x:c r="B43" s="46"/>
      <x:c r="C43" s="46"/>
      <x:c r="D43" s="46"/>
      <x:c r="E43" s="46"/>
      <x:c r="F43" s="46"/>
      <x:c r="G43" s="46"/>
      <x:c r="H43" s="52"/>
      <x:c r="I43" s="46"/>
      <x:c r="J43" s="46" t="str">
        <x:f>IF(COUNTA(A43:I43)=0,"",IF(AND(D43&lt;&gt;"",E43&lt;&gt;"",G43&lt;&gt;"",H43&lt;&gt;""),"Ready","Needs info"))</x:f>
      </x:c>
      <x:c r="K43" s="46"/>
      <x:c r="L43" s="46"/>
      <x:c r="M43" s="46"/>
      <x:c r="N43" s="46" t="str">
        <x:f>IF(D43="","",IF(COUNTIF($D$2:D43,D43)=1,1,0))</x:f>
      </x:c>
      <x:c r="O43" s="47" t="n">
        <x:f>IF(E43&lt;&gt;"",1,0)</x:f>
        <x:v>0</x:v>
      </x:c>
    </x:row>
    <x:row r="44">
      <x:c r="A44" s="55"/>
      <x:c r="B44" s="46"/>
      <x:c r="C44" s="46"/>
      <x:c r="D44" s="46"/>
      <x:c r="E44" s="46"/>
      <x:c r="F44" s="46"/>
      <x:c r="G44" s="46"/>
      <x:c r="H44" s="52"/>
      <x:c r="I44" s="46"/>
      <x:c r="J44" s="46" t="str">
        <x:f>IF(COUNTA(A44:I44)=0,"",IF(AND(D44&lt;&gt;"",E44&lt;&gt;"",G44&lt;&gt;"",H44&lt;&gt;""),"Ready","Needs info"))</x:f>
      </x:c>
      <x:c r="K44" s="46"/>
      <x:c r="L44" s="46"/>
      <x:c r="M44" s="46"/>
      <x:c r="N44" s="46" t="str">
        <x:f>IF(D44="","",IF(COUNTIF($D$2:D44,D44)=1,1,0))</x:f>
      </x:c>
      <x:c r="O44" s="47" t="n">
        <x:f>IF(E44&lt;&gt;"",1,0)</x:f>
        <x:v>0</x:v>
      </x:c>
    </x:row>
    <x:row r="45">
      <x:c r="A45" s="55"/>
      <x:c r="B45" s="46"/>
      <x:c r="C45" s="46"/>
      <x:c r="D45" s="46"/>
      <x:c r="E45" s="46"/>
      <x:c r="F45" s="46"/>
      <x:c r="G45" s="46"/>
      <x:c r="H45" s="52"/>
      <x:c r="I45" s="46"/>
      <x:c r="J45" s="46" t="str">
        <x:f>IF(COUNTA(A45:I45)=0,"",IF(AND(D45&lt;&gt;"",E45&lt;&gt;"",G45&lt;&gt;"",H45&lt;&gt;""),"Ready","Needs info"))</x:f>
      </x:c>
      <x:c r="K45" s="46"/>
      <x:c r="L45" s="46"/>
      <x:c r="M45" s="46"/>
      <x:c r="N45" s="46" t="str">
        <x:f>IF(D45="","",IF(COUNTIF($D$2:D45,D45)=1,1,0))</x:f>
      </x:c>
      <x:c r="O45" s="47" t="n">
        <x:f>IF(E45&lt;&gt;"",1,0)</x:f>
        <x:v>0</x:v>
      </x:c>
    </x:row>
    <x:row r="46">
      <x:c r="A46" s="55"/>
      <x:c r="B46" s="46"/>
      <x:c r="C46" s="46"/>
      <x:c r="D46" s="46"/>
      <x:c r="E46" s="46"/>
      <x:c r="F46" s="46"/>
      <x:c r="G46" s="46"/>
      <x:c r="H46" s="52"/>
      <x:c r="I46" s="46"/>
      <x:c r="J46" s="46" t="str">
        <x:f>IF(COUNTA(A46:I46)=0,"",IF(AND(D46&lt;&gt;"",E46&lt;&gt;"",G46&lt;&gt;"",H46&lt;&gt;""),"Ready","Needs info"))</x:f>
      </x:c>
      <x:c r="K46" s="46"/>
      <x:c r="L46" s="46"/>
      <x:c r="M46" s="46"/>
      <x:c r="N46" s="46" t="str">
        <x:f>IF(D46="","",IF(COUNTIF($D$2:D46,D46)=1,1,0))</x:f>
      </x:c>
      <x:c r="O46" s="47" t="n">
        <x:f>IF(E46&lt;&gt;"",1,0)</x:f>
        <x:v>0</x:v>
      </x:c>
    </x:row>
    <x:row r="47">
      <x:c r="A47" s="55"/>
      <x:c r="B47" s="46"/>
      <x:c r="C47" s="46"/>
      <x:c r="D47" s="46"/>
      <x:c r="E47" s="46"/>
      <x:c r="F47" s="46"/>
      <x:c r="G47" s="46"/>
      <x:c r="H47" s="52"/>
      <x:c r="I47" s="46"/>
      <x:c r="J47" s="46" t="str">
        <x:f>IF(COUNTA(A47:I47)=0,"",IF(AND(D47&lt;&gt;"",E47&lt;&gt;"",G47&lt;&gt;"",H47&lt;&gt;""),"Ready","Needs info"))</x:f>
      </x:c>
      <x:c r="K47" s="46"/>
      <x:c r="L47" s="46"/>
      <x:c r="M47" s="46"/>
      <x:c r="N47" s="46" t="str">
        <x:f>IF(D47="","",IF(COUNTIF($D$2:D47,D47)=1,1,0))</x:f>
      </x:c>
      <x:c r="O47" s="47" t="n">
        <x:f>IF(E47&lt;&gt;"",1,0)</x:f>
        <x:v>0</x:v>
      </x:c>
    </x:row>
    <x:row r="48">
      <x:c r="A48" s="55"/>
      <x:c r="B48" s="46"/>
      <x:c r="C48" s="46"/>
      <x:c r="D48" s="46"/>
      <x:c r="E48" s="46"/>
      <x:c r="F48" s="46"/>
      <x:c r="G48" s="46"/>
      <x:c r="H48" s="52"/>
      <x:c r="I48" s="46"/>
      <x:c r="J48" s="46" t="str">
        <x:f>IF(COUNTA(A48:I48)=0,"",IF(AND(D48&lt;&gt;"",E48&lt;&gt;"",G48&lt;&gt;"",H48&lt;&gt;""),"Ready","Needs info"))</x:f>
      </x:c>
      <x:c r="K48" s="46"/>
      <x:c r="L48" s="46"/>
      <x:c r="M48" s="46"/>
      <x:c r="N48" s="46" t="str">
        <x:f>IF(D48="","",IF(COUNTIF($D$2:D48,D48)=1,1,0))</x:f>
      </x:c>
      <x:c r="O48" s="47" t="n">
        <x:f>IF(E48&lt;&gt;"",1,0)</x:f>
        <x:v>0</x:v>
      </x:c>
    </x:row>
    <x:row r="49">
      <x:c r="A49" s="55"/>
      <x:c r="B49" s="46"/>
      <x:c r="C49" s="46"/>
      <x:c r="D49" s="46"/>
      <x:c r="E49" s="46"/>
      <x:c r="F49" s="46"/>
      <x:c r="G49" s="46"/>
      <x:c r="H49" s="52"/>
      <x:c r="I49" s="46"/>
      <x:c r="J49" s="46" t="str">
        <x:f>IF(COUNTA(A49:I49)=0,"",IF(AND(D49&lt;&gt;"",E49&lt;&gt;"",G49&lt;&gt;"",H49&lt;&gt;""),"Ready","Needs info"))</x:f>
      </x:c>
      <x:c r="K49" s="46"/>
      <x:c r="L49" s="46"/>
      <x:c r="M49" s="46"/>
      <x:c r="N49" s="46" t="str">
        <x:f>IF(D49="","",IF(COUNTIF($D$2:D49,D49)=1,1,0))</x:f>
      </x:c>
      <x:c r="O49" s="47" t="n">
        <x:f>IF(E49&lt;&gt;"",1,0)</x:f>
        <x:v>0</x:v>
      </x:c>
    </x:row>
    <x:row r="50">
      <x:c r="A50" s="55"/>
      <x:c r="B50" s="46"/>
      <x:c r="C50" s="46"/>
      <x:c r="D50" s="46"/>
      <x:c r="E50" s="46"/>
      <x:c r="F50" s="46"/>
      <x:c r="G50" s="46"/>
      <x:c r="H50" s="52"/>
      <x:c r="I50" s="46"/>
      <x:c r="J50" s="46" t="str">
        <x:f>IF(COUNTA(A50:I50)=0,"",IF(AND(D50&lt;&gt;"",E50&lt;&gt;"",G50&lt;&gt;"",H50&lt;&gt;""),"Ready","Needs info"))</x:f>
      </x:c>
      <x:c r="K50" s="46"/>
      <x:c r="L50" s="46"/>
      <x:c r="M50" s="46"/>
      <x:c r="N50" s="46" t="str">
        <x:f>IF(D50="","",IF(COUNTIF($D$2:D50,D50)=1,1,0))</x:f>
      </x:c>
      <x:c r="O50" s="47" t="n">
        <x:f>IF(E50&lt;&gt;"",1,0)</x:f>
        <x:v>0</x:v>
      </x:c>
    </x:row>
    <x:row r="51">
      <x:c r="A51" s="56"/>
      <x:c r="B51" s="49"/>
      <x:c r="C51" s="49"/>
      <x:c r="D51" s="49"/>
      <x:c r="E51" s="49"/>
      <x:c r="F51" s="49"/>
      <x:c r="G51" s="49"/>
      <x:c r="H51" s="53"/>
      <x:c r="I51" s="49"/>
      <x:c r="J51" s="49" t="str">
        <x:f>IF(COUNTA(A51:I51)=0,"",IF(AND(D51&lt;&gt;"",E51&lt;&gt;"",G51&lt;&gt;"",H51&lt;&gt;""),"Ready","Needs info"))</x:f>
      </x:c>
      <x:c r="K51" s="49"/>
      <x:c r="L51" s="49"/>
      <x:c r="M51" s="49"/>
      <x:c r="N51" s="49" t="str">
        <x:f>IF(D51="","",IF(COUNTIF($D$2:D51,D51)=1,1,0))</x:f>
      </x:c>
      <x:c r="O51" s="50" t="n">
        <x:f>IF(E51&lt;&gt;"",1,0)</x:f>
        <x:v>0</x:v>
      </x:c>
    </x:row>
  </x:sheetData>
  <x:dataValidations count="3">
    <x:dataValidation type="whole" operator="between" sqref="H2:H51">
      <x:formula1>1</x:formula1>
      <x:formula2>5</x:formula2>
    </x:dataValidation>
    <x:dataValidation type="list" sqref="J2:J51">
      <x:formula1>"Ready,Needs info"</x:formula1>
    </x:dataValidation>
    <x:dataValidation type="list" sqref="L2:L51">
      <x:formula1>"Onboarding,UX/UI,Trust/Verification,Privacy,Stability,Growth,Roadmap"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69c7de9e84e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439998626708984" hidden="0" customWidth="1"/>
    <x:col min="2" max="2" width="4.670000076293945" hidden="0" customWidth="1"/>
    <x:col min="4" max="4" width="16.559999465942383" hidden="0" customWidth="1"/>
    <x:col min="5" max="5" width="7.670000076293945" hidden="0" customWidth="1"/>
  </x:cols>
  <x:sheetData>
    <x:row r="1">
      <x:c r="A1" s="2" t="str">
        <x:v>Level 5 Growth &amp; Feedback Analysis</x:v>
      </x:c>
      <x:c r="B1" s="2"/>
      <x:c r="C1" s="2"/>
      <x:c r="D1" s="2"/>
      <x:c r="E1" s="2"/>
      <x:c r="F1" s="2"/>
      <x:c r="G1" s="2"/>
      <x:c r="H1" s="2"/>
    </x:row>
    <x:row r="3">
      <x:c r="A3" s="62" t="str">
        <x:v>Metric</x:v>
      </x:c>
      <x:c r="B3" s="63" t="str">
        <x:v>Value</x:v>
      </x:c>
      <x:c r="D3" s="62" t="str">
        <x:v>Improvement Theme</x:v>
      </x:c>
      <x:c r="E3" s="63" t="str">
        <x:v>Mentions</x:v>
      </x:c>
    </x:row>
    <x:row r="4">
      <x:c r="A4" s="64" t="str">
        <x:v>Target users</x:v>
      </x:c>
      <x:c r="B4" s="65" t="n">
        <x:v>50</x:v>
      </x:c>
      <x:c r="D4" s="64" t="str">
        <x:v>Onboarding</x:v>
      </x:c>
      <x:c r="E4" s="65" t="n">
        <x:f>COUNTIF('Form Responses'!L2:L51,D4)</x:f>
        <x:v>0</x:v>
      </x:c>
    </x:row>
    <x:row r="5">
      <x:c r="A5" s="64" t="str">
        <x:v>Responses collected</x:v>
      </x:c>
      <x:c r="B5" s="65" t="n">
        <x:f>COUNTA('Form Responses'!A2:A51)</x:f>
        <x:v>0</x:v>
      </x:c>
      <x:c r="D5" s="64" t="str">
        <x:v>UX/UI</x:v>
      </x:c>
      <x:c r="E5" s="65" t="n">
        <x:f>COUNTIF('Form Responses'!L3:L52,D5)</x:f>
        <x:v>0</x:v>
      </x:c>
    </x:row>
    <x:row r="6">
      <x:c r="A6" s="64" t="str">
        <x:v>Unique wallets</x:v>
      </x:c>
      <x:c r="B6" s="65" t="n">
        <x:f>SUM('Form Responses'!N2:N51)</x:f>
        <x:v>0</x:v>
      </x:c>
      <x:c r="D6" s="64" t="str">
        <x:v>Trust/Verification</x:v>
      </x:c>
      <x:c r="E6" s="65" t="n">
        <x:f>COUNTIF('Form Responses'!L4:L53,D6)</x:f>
        <x:v>0</x:v>
      </x:c>
    </x:row>
    <x:row r="7">
      <x:c r="A7" s="64" t="str">
        <x:v>Signed Testnet transactions</x:v>
      </x:c>
      <x:c r="B7" s="65" t="n">
        <x:f>SUM('Form Responses'!O2:O51)</x:f>
        <x:v>0</x:v>
      </x:c>
      <x:c r="D7" s="64" t="str">
        <x:v>Privacy</x:v>
      </x:c>
      <x:c r="E7" s="65" t="n">
        <x:f>COUNTIF('Form Responses'!L5:L54,D7)</x:f>
        <x:v>0</x:v>
      </x:c>
    </x:row>
    <x:row r="8">
      <x:c r="A8" s="64" t="str">
        <x:v>Ready response rows</x:v>
      </x:c>
      <x:c r="B8" s="65" t="n">
        <x:f>COUNTIF('Form Responses'!J2:J51,"Ready")</x:f>
        <x:v>0</x:v>
      </x:c>
      <x:c r="D8" s="64" t="str">
        <x:v>Stability</x:v>
      </x:c>
      <x:c r="E8" s="65" t="n">
        <x:f>COUNTIF('Form Responses'!L6:L55,D8)</x:f>
        <x:v>0</x:v>
      </x:c>
    </x:row>
    <x:row r="9">
      <x:c r="A9" s="64" t="str">
        <x:v>Average rating</x:v>
      </x:c>
      <x:c r="B9" s="66" t="n">
        <x:f>IFERROR(AVERAGE('Form Responses'!H2:H51),0)</x:f>
        <x:v>0</x:v>
      </x:c>
      <x:c r="D9" s="64" t="str">
        <x:v>Growth</x:v>
      </x:c>
      <x:c r="E9" s="65" t="n">
        <x:f>COUNTIF('Form Responses'!L7:L56,D9)</x:f>
        <x:v>0</x:v>
      </x:c>
    </x:row>
    <x:row r="10">
      <x:c r="A10" s="67" t="str">
        <x:v>Feedback notes collected</x:v>
      </x:c>
      <x:c r="B10" s="68" t="n">
        <x:f>COUNTA('Form Responses'!I2:I51)</x:f>
        <x:v>0</x:v>
      </x:c>
      <x:c r="D10" s="67" t="str">
        <x:v>Roadmap</x:v>
      </x:c>
      <x:c r="E10" s="69" t="n">
        <x:f>COUNTIF('Form Responses'!L8:L57,D10)</x:f>
        <x:v>0</x:v>
      </x:c>
    </x:row>
    <x:row r="12">
      <x:c r="A12" s="14" t="str">
        <x:v>How to use this sheet</x:v>
      </x:c>
      <x:c r="B12" s="14"/>
      <x:c r="C12" s="14"/>
      <x:c r="D12" s="14"/>
      <x:c r="E12" s="14"/>
      <x:c r="F12" s="14"/>
      <x:c r="G12" s="14"/>
      <x:c r="H12" s="14"/>
    </x:row>
    <x:row r="13">
      <x:c r="A13" s="79" t="str">
        <x:v>1. Create the Google Form using the Instructions tab fields.</x:v>
      </x:c>
      <x:c r="B13" s="80"/>
      <x:c r="C13" s="80"/>
      <x:c r="D13" s="80"/>
      <x:c r="E13" s="80"/>
      <x:c r="F13" s="80"/>
      <x:c r="G13" s="80"/>
      <x:c r="H13" s="81"/>
    </x:row>
    <x:row r="14">
      <x:c r="A14" s="82" t="str">
        <x:v>2. Export responses from Google Forms/Sheets to Excel.</x:v>
      </x:c>
      <x:c r="B14" s="83"/>
      <x:c r="C14" s="83"/>
      <x:c r="D14" s="83"/>
      <x:c r="E14" s="83"/>
      <x:c r="F14" s="83"/>
      <x:c r="G14" s="83"/>
      <x:c r="H14" s="84"/>
    </x:row>
    <x:row r="15">
      <x:c r="A15" s="82" t="str">
        <x:v>3. Paste the real response rows into Form Responses starting at row 2.</x:v>
      </x:c>
      <x:c r="B15" s="83"/>
      <x:c r="C15" s="83"/>
      <x:c r="D15" s="83"/>
      <x:c r="E15" s="83"/>
      <x:c r="F15" s="83"/>
      <x:c r="G15" s="83"/>
      <x:c r="H15" s="84"/>
    </x:row>
    <x:row r="16">
      <x:c r="A16" s="82" t="str">
        <x:v>4. Attach this workbook link in the README and keep the Google Form URL visible.</x:v>
      </x:c>
      <x:c r="B16" s="83"/>
      <x:c r="C16" s="83"/>
      <x:c r="D16" s="83"/>
      <x:c r="E16" s="83"/>
      <x:c r="F16" s="83"/>
      <x:c r="G16" s="83"/>
      <x:c r="H16" s="84"/>
    </x:row>
    <x:row r="17">
      <x:c r="A17" s="85" t="str">
        <x:v>5. Replace TODO proof links with real Stellar explorer transaction URLs.</x:v>
      </x:c>
      <x:c r="B17" s="86"/>
      <x:c r="C17" s="86"/>
      <x:c r="D17" s="86"/>
      <x:c r="E17" s="86"/>
      <x:c r="F17" s="86"/>
      <x:c r="G17" s="86"/>
      <x:c r="H17" s="87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e508ee0f11aa48d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42" hidden="0" customWidth="1"/>
    <x:col min="3" max="3" width="42" hidden="0" customWidth="1"/>
    <x:col min="4" max="4" width="8.670000076293945" hidden="0" customWidth="1"/>
    <x:col min="5" max="5" width="44" hidden="0" customWidth="1"/>
    <x:col min="6" max="6" width="7.889999866485596" hidden="0" customWidth="1"/>
    <x:col min="7" max="7" width="55" hidden="0" customWidth="1"/>
  </x:cols>
  <x:sheetData>
    <x:row r="1">
      <x:c r="A1" s="14" t="str">
        <x:v>Priority</x:v>
      </x:c>
      <x:c r="B1" s="14" t="str">
        <x:v>Feedback Signal / Requirement</x:v>
      </x:c>
      <x:c r="C1" s="14" t="str">
        <x:v>Product Iteration</x:v>
      </x:c>
      <x:c r="D1" s="14" t="str">
        <x:v>Status</x:v>
      </x:c>
      <x:c r="E1" s="14" t="str">
        <x:v>Commit Link</x:v>
      </x:c>
      <x:c r="F1" s="14" t="str">
        <x:v>Owner</x:v>
      </x:c>
      <x:c r="G1" s="14" t="str">
        <x:v>Notes</x:v>
      </x:c>
    </x:row>
    <x:row r="2">
      <x:c r="A2" s="24" t="str">
        <x:v>P0</x:v>
      </x:c>
      <x:c r="B2" s="25" t="str">
        <x:v>Level 5 requires 50 users with real transaction activity and active usage proof.</x:v>
      </x:c>
      <x:c r="C2" s="25" t="str">
        <x:v>Added Level 5 growth dashboard, signed-wallet target, JSON evidence export, and CSV feedback export.</x:v>
      </x:c>
      <x:c r="D2" s="25" t="str">
        <x:v>Done</x:v>
      </x:c>
      <x:c r="E2" s="25" t="str">
        <x:v>https://github.com/eliffvural/proofdesk-stellar-soroban-bootcamp/commit/c53d1762b97e2b492f5d79be0dde23a81d612ef5</x:v>
      </x:c>
      <x:c r="F2" s="25" t="str">
        <x:v>Elif</x:v>
      </x:c>
      <x:c r="G2" s="26" t="str">
        <x:v>Use this commit as the README improvement evidence link.</x:v>
      </x:c>
    </x:row>
    <x:row r="3">
      <x:c r="A3" s="27" t="str">
        <x:v>P0</x:v>
      </x:c>
      <x:c r="B3" s="28" t="str">
        <x:v>Feedback collection must include wallet address, email, name, and product rating.</x:v>
      </x:c>
      <x:c r="C3" s="28" t="str">
        <x:v>Added email capture to the in-app tester feedback flow and workbook export schema.</x:v>
      </x:c>
      <x:c r="D3" s="28" t="str">
        <x:v>Done</x:v>
      </x:c>
      <x:c r="E3" s="28" t="str">
        <x:v>https://github.com/eliffvural/proofdesk-stellar-soroban-bootcamp/commit/c53d1762b97e2b492f5d79be0dde23a81d612ef5</x:v>
      </x:c>
      <x:c r="F3" s="28" t="str">
        <x:v>Elif</x:v>
      </x:c>
      <x:c r="G3" s="29" t="str">
        <x:v>Google Form should mirror the same required fields.</x:v>
      </x:c>
    </x:row>
    <x:row r="4">
      <x:c r="A4" s="27" t="str">
        <x:v>P1</x:v>
      </x:c>
      <x:c r="B4" s="28" t="str">
        <x:v>Onboarding should be repeatable for larger tester groups.</x:v>
      </x:c>
      <x:c r="C4" s="28" t="str">
        <x:v>Use the testing script, demo script, and feedback form instructions for each cohort.</x:v>
      </x:c>
      <x:c r="D4" s="28" t="str">
        <x:v>Ready</x:v>
      </x:c>
      <x:c r="E4" s="28" t="str">
        <x:v>TODO: add commit link after next onboarding improvement</x:v>
      </x:c>
      <x:c r="F4" s="28" t="str">
        <x:v>Elif</x:v>
      </x:c>
      <x:c r="G4" s="29" t="str">
        <x:v>Validate with the first 10 Level 5 testers, then revise copy.</x:v>
      </x:c>
    </x:row>
    <x:row r="5">
      <x:c r="A5" s="27" t="str">
        <x:v>P1</x:v>
      </x:c>
      <x:c r="B5" s="28" t="str">
        <x:v>Users need a trustable verification artifact.</x:v>
      </x:c>
      <x:c r="C5" s="28" t="str">
        <x:v>Prioritize shareable verification certificate and transaction copy UX in the next phase.</x:v>
      </x:c>
      <x:c r="D5" s="28" t="str">
        <x:v>Planned</x:v>
      </x:c>
      <x:c r="E5" s="28" t="str">
        <x:v>TODO</x:v>
      </x:c>
      <x:c r="F5" s="28" t="str">
        <x:v>Elif</x:v>
      </x:c>
      <x:c r="G5" s="29" t="str">
        <x:v>Base priority on collected form feedback themes.</x:v>
      </x:c>
    </x:row>
    <x:row r="6">
      <x:c r="A6" s="27" t="str">
        <x:v>P2</x:v>
      </x:c>
      <x:c r="B6" s="28" t="str">
        <x:v>Stability issues must be visible during demos.</x:v>
      </x:c>
      <x:c r="C6" s="28" t="str">
        <x:v>Keep monitoring issue export and review errors after each tester cohort.</x:v>
      </x:c>
      <x:c r="D6" s="28" t="str">
        <x:v>In progress</x:v>
      </x:c>
      <x:c r="E6" s="28" t="str">
        <x:v>https://github.com/eliffvural/proofdesk-stellar-soroban-bootcamp/commit/c53d1762b97e2b492f5d79be0dde23a81d612ef5</x:v>
      </x:c>
      <x:c r="F6" s="28" t="str">
        <x:v>Elif</x:v>
      </x:c>
      <x:c r="G6" s="29" t="str">
        <x:v>Attach screenshots of monitoring panel before submission.</x:v>
      </x:c>
    </x:row>
    <x:row r="7">
      <x:c r="A7" s="27" t="str">
        <x:v>P2</x:v>
      </x:c>
      <x:c r="B7" s="28" t="str">
        <x:v>Growth story needs ecosystem positioning.</x:v>
      </x:c>
      <x:c r="C7" s="28" t="str">
        <x:v>Use pitch deck roadmap and market positioning slides for monthly review.</x:v>
      </x:c>
      <x:c r="D7" s="28" t="str">
        <x:v>Ready</x:v>
      </x:c>
      <x:c r="E7" s="28" t="str">
        <x:v>TODO: link deck/documentation commit</x:v>
      </x:c>
      <x:c r="F7" s="28" t="str">
        <x:v>Elif</x:v>
      </x:c>
      <x:c r="G7" s="29" t="str">
        <x:v>Replace deck TODO metrics with real 50-user results.</x:v>
      </x:c>
    </x:row>
    <x:row r="8">
      <x:c r="A8" s="30" t="str">
        <x:v>P3</x:v>
      </x:c>
      <x:c r="B8" s="31" t="str">
        <x:v>Retention needs a reason to return after the first proof.</x:v>
      </x:c>
      <x:c r="C8" s="31" t="str">
        <x:v>Explore proof history, shared verification links, and batch proof creation.</x:v>
      </x:c>
      <x:c r="D8" s="31" t="str">
        <x:v>Next</x:v>
      </x:c>
      <x:c r="E8" s="31" t="str">
        <x:v>TODO</x:v>
      </x:c>
      <x:c r="F8" s="31" t="str">
        <x:v>Elif</x:v>
      </x:c>
      <x:c r="G8" s="32" t="str">
        <x:v>Promote only after the 50-user feedback analysis identifies strongest need.</x:v>
      </x:c>
    </x:row>
  </x:sheetData>
  <x:pageMargins left="0.7" right="0.7" top="0.75" bottom="0.75" header="0.3" footer="0.3"/>
  <x:tableParts count="1">
    <x:tablePart xmlns:r="http://schemas.openxmlformats.org/officeDocument/2006/relationships" r:id="R8997b2c15fb54bd7"/>
  </x:tableParts>
</x:worksheet>
</file>